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663380608-3\Git Work\SE\SE-Labs-Section4-Group2\Lab#6\"/>
    </mc:Choice>
  </mc:AlternateContent>
  <xr:revisionPtr revIDLastSave="0" documentId="13_ncr:1_{6450234A-C86E-47CF-853F-93CE2CD5D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b95QylBnxyv+v2r2m8XSqSSKHnkKfGiOjiksn4eSnk="/>
    </ext>
  </extLst>
</workbook>
</file>

<file path=xl/calcChain.xml><?xml version="1.0" encoding="utf-8"?>
<calcChain xmlns="http://schemas.openxmlformats.org/spreadsheetml/2006/main">
  <c r="X18" i="1" l="1"/>
  <c r="W18" i="1"/>
  <c r="V18" i="1"/>
  <c r="U18" i="1"/>
  <c r="T18" i="1"/>
  <c r="S18" i="1"/>
  <c r="R18" i="1"/>
  <c r="O17" i="1"/>
  <c r="X8" i="1"/>
  <c r="W8" i="1"/>
  <c r="V8" i="1"/>
  <c r="U8" i="1"/>
  <c r="T8" i="1"/>
  <c r="S8" i="1"/>
  <c r="R8" i="1"/>
  <c r="O7" i="1"/>
  <c r="P5" i="1"/>
</calcChain>
</file>

<file path=xl/sharedStrings.xml><?xml version="1.0" encoding="utf-8"?>
<sst xmlns="http://schemas.openxmlformats.org/spreadsheetml/2006/main" count="48" uniqueCount="46">
  <si>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</si>
  <si>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</si>
  <si>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</si>
  <si>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</si>
  <si>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</si>
  <si>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Details in Task</t>
  </si>
  <si>
    <t>Initial Estimate of Effort</t>
  </si>
  <si>
    <t>New Estimate of Effort Remaining at The End of Day…</t>
  </si>
  <si>
    <t>Team velocity =</t>
  </si>
  <si>
    <t>Burrn down charts:</t>
  </si>
  <si>
    <t>As a student, I want to view my course list and exam schedule via a user-friendly interface so that I can easily plan my study and exam preparation.</t>
  </si>
  <si>
    <t>Task1</t>
  </si>
  <si>
    <t>Wireframe UI mockup</t>
  </si>
  <si>
    <t>Task2</t>
  </si>
  <si>
    <t>Database design</t>
  </si>
  <si>
    <t>DAYS</t>
  </si>
  <si>
    <t>Task3</t>
  </si>
  <si>
    <t>Database setup</t>
  </si>
  <si>
    <t>HOURS</t>
  </si>
  <si>
    <t>Task4</t>
  </si>
  <si>
    <t xml:space="preserve">Forntent Login </t>
  </si>
  <si>
    <t>Task5</t>
  </si>
  <si>
    <t xml:space="preserve">Forntent Homepage </t>
  </si>
  <si>
    <t>Task6</t>
  </si>
  <si>
    <t>Frontend หน้ารายการวิชา</t>
  </si>
  <si>
    <t>Task7</t>
  </si>
  <si>
    <t>Forntent ตารางเรียน ตารางสอบ</t>
  </si>
  <si>
    <t>Task8</t>
  </si>
  <si>
    <t>Frontend รายละเอียดวิชา</t>
  </si>
  <si>
    <t>Task9</t>
  </si>
  <si>
    <t>Frontend ค้นหาวิชา</t>
  </si>
  <si>
    <t>Task10</t>
  </si>
  <si>
    <t>Backend Login
1. Login
2. Login with SSO
3. Login with ThaiD</t>
  </si>
  <si>
    <t>As a student, I want to securely log in and retrieve accurate course and exam data so that I can reliably access my academic information.</t>
  </si>
  <si>
    <t>Task11</t>
  </si>
  <si>
    <t>Backend แสดงรายละเอียด + รหัสวิชา
1. ค้นหารายวิชา
2. แสดงข้อมูลรายวิชาทั้งหมดจากรหัสนักศึกษา
3. แสดงรายละเอียดวิชาจากรหัสวิชา</t>
  </si>
  <si>
    <t>Task12</t>
  </si>
  <si>
    <t>Testing Automate UAT</t>
  </si>
  <si>
    <t>Task13</t>
  </si>
  <si>
    <t>Bug Fixing</t>
  </si>
  <si>
    <t>Task14</t>
  </si>
  <si>
    <t>Document เอกสาร</t>
  </si>
  <si>
    <t>Task15</t>
  </si>
  <si>
    <t>Document คู่มือ</t>
  </si>
  <si>
    <t>Task16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</si>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</sst>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4"/>
      <color theme="1"/>
      <name val="Bai Jamjuree"/>
    </font>
    <font>
      <sz val="14"/>
      <color theme="1"/>
      <name val="Bai Jamjuree"/>
    </font>
    <font>
      <b/>
      <sz val="14"/>
      <color rgb="FF000000"/>
      <name val="Bai Jamjuree"/>
    </font>
    <font>
      <sz val="11"/>
      <name val="Calibri"/>
    </font>
    <font>
      <sz val="20"/>
      <color theme="1"/>
      <name val="&quot;Cordia New&quot;"/>
    </font>
    <font>
      <sz val="20"/>
      <color rgb="FF000000"/>
      <name val="&quot;Cordia New&quot;"/>
    </font>
    <font>
      <sz val="14"/>
      <color rgb="FF000000"/>
      <name val="Bai Jamjuree"/>
    </font>
    <font>
      <sz val="11"/>
      <color rgb="FF000000"/>
      <name val="Tahoma"/>
    </font>
    <font>
      <sz val="14"/>
      <color rgb="FF000000"/>
      <name val="Serif"/>
    </font>
    <font>
      <sz val="14"/>
      <color theme="1"/>
      <name val="Serif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6" fillId="0" borderId="0" xfId="0" applyFont="1"/>
    <xf numFmtId="0" fontId="7" fillId="4" borderId="6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top"/>
    </xf>
    <xf numFmtId="0" fontId="6" fillId="3" borderId="0" xfId="0" applyFont="1" applyFill="1" applyAlignment="1">
      <alignment horizontal="right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0" fontId="8" fillId="0" borderId="0" xfId="0" applyFont="1" applyAlignment="1">
      <alignment horizontal="left" vertical="top"/>
    </xf>
    <xf numFmtId="0" fontId="2" fillId="4" borderId="6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left" vertical="top" wrapText="1"/>
    </xf>
    <xf numFmtId="0" fontId="7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left" vertical="top"/>
    </xf>
    <xf numFmtId="0" fontId="2" fillId="5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6" fillId="3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7" fillId="4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7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Example!$Q$18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Example!$R$18:$X$18</c:f>
              <c:numCache>
                <c:formatCode>General</c:formatCode>
                <c:ptCount val="7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58</c:v>
                </c:pt>
                <c:pt idx="4">
                  <c:v>32</c:v>
                </c:pt>
                <c:pt idx="5">
                  <c:v>11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0A-4122-8CBB-3CAB0903E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4239876"/>
        <c:axId val="1256242692"/>
      </c:lineChart>
      <c:catAx>
        <c:axId val="17042398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256242692"/>
        <c:crosses val="autoZero"/>
        <c:auto val="1"/>
        <c:lblAlgn val="ctr"/>
        <c:lblOffset val="100"/>
        <c:noMultiLvlLbl val="1"/>
      </c:catAx>
      <c:valAx>
        <c:axId val="12562426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7042398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Example!$Q$8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Example!$R$8:$X$8</c:f>
              <c:numCache>
                <c:formatCode>General</c:formatCode>
                <c:ptCount val="7"/>
                <c:pt idx="0">
                  <c:v>78</c:v>
                </c:pt>
                <c:pt idx="1">
                  <c:v>78</c:v>
                </c:pt>
                <c:pt idx="2">
                  <c:v>64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18-4992-B053-2CD1B6F91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676991"/>
        <c:axId val="1100072857"/>
      </c:lineChart>
      <c:catAx>
        <c:axId val="666676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100072857"/>
        <c:crosses val="autoZero"/>
        <c:auto val="1"/>
        <c:lblAlgn val="ctr"/>
        <c:lblOffset val="100"/>
        <c:noMultiLvlLbl val="1"/>
      </c:catAx>
      <c:valAx>
        <c:axId val="1100072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6666769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19050</xdr:colOff>
      <xdr:row>15</xdr:row>
      <xdr:rowOff>781050</xdr:rowOff>
    </xdr:from>
    <xdr:ext cx="3219450" cy="1990725"/>
    <xdr:graphicFrame macro="">
      <xdr:nvGraphicFramePr>
        <xdr:cNvPr id="1341793418" name="Chart 1" title="Chart">
          <a:extLst>
            <a:ext uri="{FF2B5EF4-FFF2-40B4-BE49-F238E27FC236}">
              <a16:creationId xmlns:a16="http://schemas.microsoft.com/office/drawing/2014/main" id="{00000000-0008-0000-0000-00008A24F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66675</xdr:colOff>
      <xdr:row>5</xdr:row>
      <xdr:rowOff>266700</xdr:rowOff>
    </xdr:from>
    <xdr:ext cx="3124200" cy="1990725"/>
    <xdr:graphicFrame macro="">
      <xdr:nvGraphicFramePr>
        <xdr:cNvPr id="854751289" name="Chart 2" title="Chart">
          <a:extLst>
            <a:ext uri="{FF2B5EF4-FFF2-40B4-BE49-F238E27FC236}">
              <a16:creationId xmlns:a16="http://schemas.microsoft.com/office/drawing/2014/main" id="{00000000-0008-0000-0000-00003978F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2"/>
  <sheetViews>
    <sheetView tabSelected="1" zoomScale="70" zoomScaleNormal="70" workbookViewId="0">
      <selection activeCell="D16" sqref="D16"/>
    </sheetView>
  </sheetViews>
  <sheetFormatPr defaultColWidth="14.44140625" defaultRowHeight="15" customHeight="1"/>
  <cols>
    <col min="1" max="1" width="18.6640625" customWidth="1"/>
    <col min="2" max="2" width="30.6640625" customWidth="1"/>
    <col min="3" max="3" width="14.88671875" customWidth="1"/>
    <col min="4" max="4" width="46" customWidth="1"/>
    <col min="5" max="5" width="20.33203125" customWidth="1"/>
    <col min="6" max="12" width="6.6640625" customWidth="1"/>
    <col min="13" max="13" width="8.6640625" customWidth="1"/>
    <col min="14" max="14" width="2.44140625" customWidth="1"/>
    <col min="15" max="15" width="25.33203125" customWidth="1"/>
    <col min="16" max="16" width="8.6640625" customWidth="1"/>
    <col min="17" max="17" width="21.21875" customWidth="1"/>
    <col min="18" max="30" width="8.6640625" customWidth="1"/>
  </cols>
  <sheetData>
    <row r="1" spans="1:30" ht="32.25" customHeight="1">
      <c r="A1" s="33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35"/>
      <c r="N1" s="2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57" customHeight="1">
      <c r="A2" s="34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6"/>
      <c r="N3" s="2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46.5" customHeight="1">
      <c r="A4" s="28" t="s">
        <v>2</v>
      </c>
      <c r="B4" s="28" t="s">
        <v>3</v>
      </c>
      <c r="C4" s="28" t="s">
        <v>4</v>
      </c>
      <c r="D4" s="28" t="s">
        <v>5</v>
      </c>
      <c r="E4" s="28" t="s">
        <v>6</v>
      </c>
      <c r="F4" s="22" t="s">
        <v>7</v>
      </c>
      <c r="G4" s="23"/>
      <c r="H4" s="23"/>
      <c r="I4" s="23"/>
      <c r="J4" s="23"/>
      <c r="K4" s="23"/>
      <c r="L4" s="24"/>
      <c r="M4" s="26"/>
      <c r="N4" s="2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4" customHeight="1">
      <c r="A5" s="29"/>
      <c r="B5" s="29"/>
      <c r="C5" s="29"/>
      <c r="D5" s="29"/>
      <c r="E5" s="29"/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7</v>
      </c>
      <c r="M5" s="26"/>
      <c r="N5" s="26"/>
      <c r="O5" s="3" t="s">
        <v>8</v>
      </c>
      <c r="P5" s="25">
        <f>SUM(O7:O17)/2</f>
        <v>114.5</v>
      </c>
      <c r="Q5" s="26"/>
      <c r="R5" s="26"/>
      <c r="S5" s="4"/>
      <c r="T5" s="4"/>
      <c r="U5" s="4"/>
      <c r="V5" s="4"/>
      <c r="W5" s="4"/>
      <c r="X5" s="4"/>
      <c r="Y5" s="27" t="s">
        <v>9</v>
      </c>
      <c r="Z5" s="26"/>
      <c r="AA5" s="26"/>
      <c r="AB5" s="26"/>
      <c r="AC5" s="26"/>
      <c r="AD5" s="26"/>
    </row>
    <row r="6" spans="1:30" ht="24" customHeight="1">
      <c r="A6" s="30">
        <v>1</v>
      </c>
      <c r="B6" s="37" t="s">
        <v>10</v>
      </c>
      <c r="C6" s="5" t="s">
        <v>11</v>
      </c>
      <c r="D6" s="5" t="s">
        <v>12</v>
      </c>
      <c r="E6" s="6">
        <v>18</v>
      </c>
      <c r="F6" s="6">
        <v>18</v>
      </c>
      <c r="G6" s="6">
        <v>18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26"/>
      <c r="N6" s="2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24" customHeight="1">
      <c r="A7" s="31"/>
      <c r="B7" s="31"/>
      <c r="C7" s="5" t="s">
        <v>13</v>
      </c>
      <c r="D7" s="7" t="s">
        <v>14</v>
      </c>
      <c r="E7" s="6">
        <v>16</v>
      </c>
      <c r="F7" s="6">
        <v>16</v>
      </c>
      <c r="G7" s="6">
        <v>16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26"/>
      <c r="N7" s="26"/>
      <c r="O7" s="8">
        <f>SUM(E6:E15)</f>
        <v>122</v>
      </c>
      <c r="P7" s="4"/>
      <c r="Q7" s="9" t="s">
        <v>15</v>
      </c>
      <c r="R7" s="10">
        <v>1</v>
      </c>
      <c r="S7" s="10">
        <v>2</v>
      </c>
      <c r="T7" s="10">
        <v>3</v>
      </c>
      <c r="U7" s="10">
        <v>4</v>
      </c>
      <c r="V7" s="10">
        <v>5</v>
      </c>
      <c r="W7" s="10">
        <v>6</v>
      </c>
      <c r="X7" s="10">
        <v>7</v>
      </c>
      <c r="Y7" s="11"/>
      <c r="Z7" s="4"/>
      <c r="AA7" s="4"/>
      <c r="AB7" s="4"/>
      <c r="AC7" s="4"/>
      <c r="AD7" s="4"/>
    </row>
    <row r="8" spans="1:30" ht="24" customHeight="1">
      <c r="A8" s="31"/>
      <c r="B8" s="31"/>
      <c r="C8" s="5" t="s">
        <v>16</v>
      </c>
      <c r="D8" s="7" t="s">
        <v>17</v>
      </c>
      <c r="E8" s="6">
        <v>6</v>
      </c>
      <c r="F8" s="6">
        <v>0</v>
      </c>
      <c r="G8" s="6">
        <v>6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26"/>
      <c r="N8" s="26"/>
      <c r="O8" s="4"/>
      <c r="P8" s="4"/>
      <c r="Q8" s="9" t="s">
        <v>18</v>
      </c>
      <c r="R8" s="10">
        <f t="shared" ref="R8:X8" si="0">SUM(F6:F15)</f>
        <v>78</v>
      </c>
      <c r="S8" s="10">
        <f t="shared" si="0"/>
        <v>78</v>
      </c>
      <c r="T8" s="10">
        <f t="shared" si="0"/>
        <v>64</v>
      </c>
      <c r="U8" s="10">
        <f t="shared" si="0"/>
        <v>38</v>
      </c>
      <c r="V8" s="10">
        <f t="shared" si="0"/>
        <v>38</v>
      </c>
      <c r="W8" s="10">
        <f t="shared" si="0"/>
        <v>38</v>
      </c>
      <c r="X8" s="10">
        <f t="shared" si="0"/>
        <v>0</v>
      </c>
      <c r="Y8" s="4"/>
      <c r="Z8" s="4"/>
      <c r="AA8" s="4"/>
      <c r="AB8" s="4"/>
      <c r="AC8" s="4"/>
      <c r="AD8" s="4"/>
    </row>
    <row r="9" spans="1:30" ht="24" customHeight="1">
      <c r="A9" s="31"/>
      <c r="B9" s="31"/>
      <c r="C9" s="5" t="s">
        <v>19</v>
      </c>
      <c r="D9" s="5" t="s">
        <v>20</v>
      </c>
      <c r="E9" s="6">
        <v>14</v>
      </c>
      <c r="F9" s="6">
        <v>14</v>
      </c>
      <c r="G9" s="6">
        <v>14</v>
      </c>
      <c r="H9" s="6">
        <v>14</v>
      </c>
      <c r="I9" s="6">
        <v>0</v>
      </c>
      <c r="J9" s="6">
        <v>0</v>
      </c>
      <c r="K9" s="6">
        <v>0</v>
      </c>
      <c r="L9" s="6">
        <v>0</v>
      </c>
      <c r="M9" s="26"/>
      <c r="N9" s="2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24" customHeight="1">
      <c r="A10" s="31"/>
      <c r="B10" s="31"/>
      <c r="C10" s="5" t="s">
        <v>21</v>
      </c>
      <c r="D10" s="5" t="s">
        <v>22</v>
      </c>
      <c r="E10" s="6">
        <v>6</v>
      </c>
      <c r="F10" s="6">
        <v>6</v>
      </c>
      <c r="G10" s="6">
        <v>6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26"/>
      <c r="N10" s="2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24" customHeight="1">
      <c r="A11" s="31"/>
      <c r="B11" s="31"/>
      <c r="C11" s="5" t="s">
        <v>23</v>
      </c>
      <c r="D11" s="5" t="s">
        <v>24</v>
      </c>
      <c r="E11" s="6">
        <v>6</v>
      </c>
      <c r="F11" s="6">
        <v>6</v>
      </c>
      <c r="G11" s="6">
        <v>6</v>
      </c>
      <c r="H11" s="6">
        <v>6</v>
      </c>
      <c r="I11" s="6">
        <v>0</v>
      </c>
      <c r="J11" s="6">
        <v>0</v>
      </c>
      <c r="K11" s="6">
        <v>0</v>
      </c>
      <c r="L11" s="6">
        <v>0</v>
      </c>
      <c r="M11" s="26"/>
      <c r="N11" s="2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24" customHeight="1">
      <c r="A12" s="31"/>
      <c r="B12" s="31"/>
      <c r="C12" s="5" t="s">
        <v>25</v>
      </c>
      <c r="D12" s="5" t="s">
        <v>26</v>
      </c>
      <c r="E12" s="6">
        <v>6</v>
      </c>
      <c r="F12" s="6">
        <v>6</v>
      </c>
      <c r="G12" s="6">
        <v>6</v>
      </c>
      <c r="H12" s="6">
        <v>6</v>
      </c>
      <c r="I12" s="6">
        <v>0</v>
      </c>
      <c r="J12" s="6">
        <v>0</v>
      </c>
      <c r="K12" s="6">
        <v>0</v>
      </c>
      <c r="L12" s="6">
        <v>0</v>
      </c>
      <c r="M12" s="26"/>
      <c r="N12" s="2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4" customHeight="1">
      <c r="A13" s="31"/>
      <c r="B13" s="31"/>
      <c r="C13" s="5" t="s">
        <v>27</v>
      </c>
      <c r="D13" s="5" t="s">
        <v>28</v>
      </c>
      <c r="E13" s="6">
        <v>6</v>
      </c>
      <c r="F13" s="6">
        <v>6</v>
      </c>
      <c r="G13" s="6">
        <v>6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26"/>
      <c r="N13" s="2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4" customHeight="1">
      <c r="A14" s="31"/>
      <c r="B14" s="31"/>
      <c r="C14" s="5" t="s">
        <v>29</v>
      </c>
      <c r="D14" s="5" t="s">
        <v>30</v>
      </c>
      <c r="E14" s="12">
        <v>6</v>
      </c>
      <c r="F14" s="12">
        <v>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26"/>
      <c r="N14" s="2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74.400000000000006" customHeight="1">
      <c r="A15" s="31"/>
      <c r="B15" s="31"/>
      <c r="C15" s="5" t="s">
        <v>31</v>
      </c>
      <c r="D15" s="38" t="s">
        <v>32</v>
      </c>
      <c r="E15" s="6">
        <v>38</v>
      </c>
      <c r="F15" s="13">
        <v>0</v>
      </c>
      <c r="G15" s="13">
        <v>0</v>
      </c>
      <c r="H15" s="6">
        <v>38</v>
      </c>
      <c r="I15" s="6">
        <v>38</v>
      </c>
      <c r="J15" s="6">
        <v>38</v>
      </c>
      <c r="K15" s="6">
        <v>38</v>
      </c>
      <c r="L15" s="13">
        <v>0</v>
      </c>
      <c r="M15" s="26"/>
      <c r="N15" s="26"/>
      <c r="O15" s="4"/>
      <c r="P15" s="4"/>
      <c r="Q15" s="4"/>
      <c r="R15" s="4"/>
      <c r="S15" s="4"/>
      <c r="T15" s="4"/>
      <c r="U15" s="4"/>
      <c r="V15" s="4"/>
      <c r="W15" s="4"/>
      <c r="X15" s="4"/>
      <c r="Y15" s="1"/>
      <c r="Z15" s="1"/>
      <c r="AA15" s="1"/>
      <c r="AB15" s="1"/>
      <c r="AC15" s="1"/>
      <c r="AD15" s="1"/>
    </row>
    <row r="16" spans="1:30" ht="102" customHeight="1">
      <c r="A16" s="32">
        <v>2</v>
      </c>
      <c r="B16" s="36" t="s">
        <v>33</v>
      </c>
      <c r="C16" s="14" t="s">
        <v>34</v>
      </c>
      <c r="D16" s="15" t="s">
        <v>35</v>
      </c>
      <c r="E16" s="16">
        <v>38</v>
      </c>
      <c r="F16" s="16">
        <v>38</v>
      </c>
      <c r="G16" s="16">
        <v>38</v>
      </c>
      <c r="H16" s="16">
        <v>38</v>
      </c>
      <c r="I16" s="16">
        <v>0</v>
      </c>
      <c r="J16" s="16">
        <v>0</v>
      </c>
      <c r="K16" s="16">
        <v>0</v>
      </c>
      <c r="L16" s="16">
        <v>0</v>
      </c>
      <c r="M16" s="26"/>
      <c r="N16" s="26"/>
      <c r="O16" s="4"/>
      <c r="P16" s="4"/>
      <c r="Q16" s="4"/>
      <c r="R16" s="4"/>
      <c r="S16" s="4"/>
      <c r="T16" s="4"/>
      <c r="U16" s="4"/>
      <c r="V16" s="4"/>
      <c r="W16" s="4"/>
      <c r="X16" s="4"/>
      <c r="Y16" s="1"/>
      <c r="Z16" s="1"/>
      <c r="AA16" s="1"/>
      <c r="AB16" s="1"/>
      <c r="AC16" s="1"/>
      <c r="AD16" s="1"/>
    </row>
    <row r="17" spans="1:30" ht="36.6" customHeight="1">
      <c r="A17" s="31"/>
      <c r="B17" s="31"/>
      <c r="C17" s="14" t="s">
        <v>36</v>
      </c>
      <c r="D17" s="17" t="s">
        <v>37</v>
      </c>
      <c r="E17" s="16">
        <v>33</v>
      </c>
      <c r="F17" s="16">
        <v>33</v>
      </c>
      <c r="G17" s="16">
        <v>33</v>
      </c>
      <c r="H17" s="16">
        <v>33</v>
      </c>
      <c r="I17" s="16">
        <v>33</v>
      </c>
      <c r="J17" s="16">
        <v>0</v>
      </c>
      <c r="K17" s="16">
        <v>0</v>
      </c>
      <c r="L17" s="16">
        <v>0</v>
      </c>
      <c r="M17" s="26"/>
      <c r="N17" s="26"/>
      <c r="O17" s="8">
        <f>SUM(E16:E21)</f>
        <v>107</v>
      </c>
      <c r="P17" s="4"/>
      <c r="Q17" s="9" t="s">
        <v>15</v>
      </c>
      <c r="R17" s="10">
        <v>1</v>
      </c>
      <c r="S17" s="10">
        <v>2</v>
      </c>
      <c r="T17" s="10">
        <v>3</v>
      </c>
      <c r="U17" s="10">
        <v>4</v>
      </c>
      <c r="V17" s="10">
        <v>5</v>
      </c>
      <c r="W17" s="10">
        <v>6</v>
      </c>
      <c r="X17" s="10">
        <v>7</v>
      </c>
      <c r="Y17" s="1"/>
      <c r="Z17" s="1"/>
      <c r="AA17" s="1"/>
      <c r="AB17" s="1"/>
      <c r="AC17" s="1"/>
      <c r="AD17" s="1"/>
    </row>
    <row r="18" spans="1:30" ht="29.25" customHeight="1">
      <c r="A18" s="31"/>
      <c r="B18" s="31"/>
      <c r="C18" s="14" t="s">
        <v>38</v>
      </c>
      <c r="D18" s="17" t="s">
        <v>39</v>
      </c>
      <c r="E18" s="18">
        <v>25</v>
      </c>
      <c r="F18" s="16">
        <v>0</v>
      </c>
      <c r="G18" s="16">
        <v>0</v>
      </c>
      <c r="H18" s="16">
        <v>0</v>
      </c>
      <c r="I18" s="18">
        <v>25</v>
      </c>
      <c r="J18" s="18">
        <v>25</v>
      </c>
      <c r="K18" s="16">
        <v>0</v>
      </c>
      <c r="L18" s="16">
        <v>0</v>
      </c>
      <c r="M18" s="26"/>
      <c r="N18" s="26"/>
      <c r="O18" s="4"/>
      <c r="P18" s="4"/>
      <c r="Q18" s="9" t="s">
        <v>18</v>
      </c>
      <c r="R18" s="10">
        <f t="shared" ref="R18:X18" si="1">SUM(F16:F21)</f>
        <v>71</v>
      </c>
      <c r="S18" s="10">
        <f t="shared" si="1"/>
        <v>71</v>
      </c>
      <c r="T18" s="10">
        <f t="shared" si="1"/>
        <v>71</v>
      </c>
      <c r="U18" s="10">
        <f t="shared" si="1"/>
        <v>58</v>
      </c>
      <c r="V18" s="10">
        <f t="shared" si="1"/>
        <v>32</v>
      </c>
      <c r="W18" s="10">
        <f t="shared" si="1"/>
        <v>11</v>
      </c>
      <c r="X18" s="10">
        <f t="shared" si="1"/>
        <v>4</v>
      </c>
      <c r="Y18" s="1"/>
      <c r="Z18" s="1"/>
      <c r="AA18" s="1"/>
      <c r="AB18" s="1"/>
      <c r="AC18" s="1"/>
      <c r="AD18" s="1"/>
    </row>
    <row r="19" spans="1:30" ht="29.25" customHeight="1">
      <c r="A19" s="31"/>
      <c r="B19" s="31"/>
      <c r="C19" s="14" t="s">
        <v>40</v>
      </c>
      <c r="D19" s="14" t="s">
        <v>41</v>
      </c>
      <c r="E19" s="16">
        <v>4</v>
      </c>
      <c r="F19" s="16">
        <v>0</v>
      </c>
      <c r="G19" s="16">
        <v>0</v>
      </c>
      <c r="H19" s="16">
        <v>0</v>
      </c>
      <c r="I19" s="16">
        <v>0</v>
      </c>
      <c r="J19" s="16">
        <v>4</v>
      </c>
      <c r="K19" s="16">
        <v>4</v>
      </c>
      <c r="L19" s="16">
        <v>0</v>
      </c>
      <c r="M19" s="26"/>
      <c r="N19" s="2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9.25" customHeight="1">
      <c r="A20" s="31"/>
      <c r="B20" s="31"/>
      <c r="C20" s="14" t="s">
        <v>42</v>
      </c>
      <c r="D20" s="14" t="s">
        <v>43</v>
      </c>
      <c r="E20" s="16">
        <v>3</v>
      </c>
      <c r="F20" s="16">
        <v>0</v>
      </c>
      <c r="G20" s="16">
        <v>0</v>
      </c>
      <c r="H20" s="16">
        <v>0</v>
      </c>
      <c r="I20" s="16">
        <v>0</v>
      </c>
      <c r="J20" s="16">
        <v>3</v>
      </c>
      <c r="K20" s="16">
        <v>3</v>
      </c>
      <c r="L20" s="16">
        <v>0</v>
      </c>
      <c r="M20" s="26"/>
      <c r="N20" s="2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9.25" customHeight="1">
      <c r="A21" s="29"/>
      <c r="B21" s="29"/>
      <c r="C21" s="14" t="s">
        <v>44</v>
      </c>
      <c r="D21" s="14" t="s">
        <v>45</v>
      </c>
      <c r="E21" s="16">
        <v>4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20">
        <v>4</v>
      </c>
      <c r="L21" s="20">
        <v>4</v>
      </c>
      <c r="M21" s="26"/>
      <c r="N21" s="26"/>
      <c r="O21" s="2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8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6"/>
      <c r="N22" s="2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1"/>
      <c r="AC22" s="1"/>
      <c r="AD22" s="1"/>
    </row>
    <row r="23" spans="1:30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6"/>
      <c r="N23" s="2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6"/>
      <c r="N24" s="2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6"/>
      <c r="N25" s="2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6"/>
      <c r="N26" s="2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6"/>
      <c r="N27" s="2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6"/>
      <c r="N28" s="2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6"/>
      <c r="N29" s="2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6"/>
      <c r="N30" s="2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6"/>
      <c r="N31" s="2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6"/>
      <c r="N32" s="26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6"/>
      <c r="N33" s="26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6"/>
      <c r="N34" s="26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6"/>
      <c r="N35" s="26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6"/>
      <c r="N36" s="2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6"/>
      <c r="N37" s="2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6"/>
      <c r="N38" s="2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6"/>
      <c r="N39" s="2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6"/>
      <c r="N40" s="2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6"/>
      <c r="N41" s="26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6"/>
      <c r="N42" s="26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6"/>
      <c r="N43" s="26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6"/>
      <c r="N44" s="26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6"/>
      <c r="N45" s="2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6"/>
      <c r="N46" s="2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6"/>
      <c r="N47" s="2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6"/>
      <c r="N48" s="2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6"/>
      <c r="N49" s="2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6"/>
      <c r="N50" s="2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6"/>
      <c r="N51" s="2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6"/>
      <c r="N52" s="2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6"/>
      <c r="N53" s="2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6"/>
      <c r="N54" s="2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6"/>
      <c r="N55" s="2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6"/>
      <c r="N56" s="2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6"/>
      <c r="N57" s="2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6"/>
      <c r="N58" s="2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6"/>
      <c r="N59" s="2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6"/>
      <c r="N60" s="2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6"/>
      <c r="N61" s="2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6"/>
      <c r="N62" s="2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6"/>
      <c r="N63" s="26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6"/>
      <c r="N64" s="26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6"/>
      <c r="N65" s="26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6"/>
      <c r="N66" s="2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6"/>
      <c r="N67" s="2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6"/>
      <c r="N68" s="2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6"/>
      <c r="N69" s="2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6"/>
      <c r="N70" s="2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6"/>
      <c r="N71" s="26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6"/>
      <c r="N72" s="26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6"/>
      <c r="N73" s="26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6"/>
      <c r="N74" s="26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6"/>
      <c r="N75" s="2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6"/>
      <c r="N76" s="2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6"/>
      <c r="N77" s="2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6"/>
      <c r="N78" s="2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6"/>
      <c r="N79" s="2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6"/>
      <c r="N80" s="2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6"/>
      <c r="N81" s="2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6"/>
      <c r="N82" s="2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6"/>
      <c r="N83" s="2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6"/>
      <c r="N84" s="2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6"/>
      <c r="N85" s="2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6"/>
      <c r="N86" s="2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6"/>
      <c r="N87" s="2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6"/>
      <c r="N88" s="2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6"/>
      <c r="N89" s="2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6"/>
      <c r="N90" s="2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6"/>
      <c r="N91" s="2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6"/>
      <c r="N92" s="26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6"/>
      <c r="N93" s="2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6"/>
      <c r="N94" s="2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6"/>
      <c r="N95" s="26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6"/>
      <c r="N96" s="26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6"/>
      <c r="N97" s="26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6"/>
      <c r="N98" s="26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6"/>
      <c r="N99" s="26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6"/>
      <c r="N100" s="26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6"/>
      <c r="N101" s="26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6"/>
      <c r="N102" s="26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6"/>
      <c r="N103" s="26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6"/>
      <c r="N104" s="26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6"/>
      <c r="N105" s="26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6"/>
      <c r="N106" s="26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6"/>
      <c r="N107" s="26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6"/>
      <c r="N108" s="26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6"/>
      <c r="N109" s="26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6"/>
      <c r="N110" s="26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6"/>
      <c r="N111" s="26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6"/>
      <c r="N112" s="26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6"/>
      <c r="N113" s="26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6"/>
      <c r="N114" s="26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6"/>
      <c r="N115" s="26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6"/>
      <c r="N116" s="26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6"/>
      <c r="N117" s="26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6"/>
      <c r="N118" s="26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6"/>
      <c r="N119" s="26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6"/>
      <c r="N120" s="2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6"/>
      <c r="N121" s="2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6"/>
      <c r="N122" s="2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6"/>
      <c r="N123" s="2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6"/>
      <c r="N124" s="26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6"/>
      <c r="N125" s="2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6"/>
      <c r="N126" s="2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6"/>
      <c r="N127" s="2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6"/>
      <c r="N128" s="2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6"/>
      <c r="N129" s="2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6"/>
      <c r="N130" s="2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6"/>
      <c r="N131" s="26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6"/>
      <c r="N132" s="26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6"/>
      <c r="N133" s="26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6"/>
      <c r="N134" s="26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6"/>
      <c r="N135" s="2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6"/>
      <c r="N136" s="2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6"/>
      <c r="N137" s="2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6"/>
      <c r="N138" s="2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6"/>
      <c r="N139" s="2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6"/>
      <c r="N140" s="2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6"/>
      <c r="N141" s="2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6"/>
      <c r="N142" s="2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6"/>
      <c r="N143" s="2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6"/>
      <c r="N144" s="2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6"/>
      <c r="N145" s="2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6"/>
      <c r="N146" s="2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6"/>
      <c r="N147" s="2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6"/>
      <c r="N148" s="26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6"/>
      <c r="N149" s="26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6"/>
      <c r="N150" s="26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6"/>
      <c r="N151" s="26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6"/>
      <c r="N152" s="26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6"/>
      <c r="N153" s="26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6"/>
      <c r="N154" s="2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6"/>
      <c r="N155" s="2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6"/>
      <c r="N156" s="2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6"/>
      <c r="N157" s="2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6"/>
      <c r="N158" s="2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6"/>
      <c r="N159" s="2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6"/>
      <c r="N160" s="2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6"/>
      <c r="N161" s="26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6"/>
      <c r="N162" s="2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6"/>
      <c r="N163" s="26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6"/>
      <c r="N164" s="2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6"/>
      <c r="N165" s="2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6"/>
      <c r="N166" s="2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6"/>
      <c r="N167" s="2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6"/>
      <c r="N168" s="2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6"/>
      <c r="N169" s="2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6"/>
      <c r="N170" s="2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6"/>
      <c r="N171" s="2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6"/>
      <c r="N172" s="2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6"/>
      <c r="N173" s="2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6"/>
      <c r="N174" s="2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6"/>
      <c r="N175" s="2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6"/>
      <c r="N176" s="2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6"/>
      <c r="N177" s="2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6"/>
      <c r="N178" s="2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6"/>
      <c r="N179" s="2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6"/>
      <c r="N180" s="2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6"/>
      <c r="N181" s="26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6"/>
      <c r="N182" s="26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6"/>
      <c r="N183" s="26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6"/>
      <c r="N184" s="2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6"/>
      <c r="N185" s="2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6"/>
      <c r="N186" s="2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6"/>
      <c r="N187" s="2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6"/>
      <c r="N188" s="2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6"/>
      <c r="N189" s="2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6"/>
      <c r="N190" s="2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6"/>
      <c r="N191" s="26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6"/>
      <c r="N192" s="2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6"/>
      <c r="N193" s="2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6"/>
      <c r="N194" s="2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6"/>
      <c r="N195" s="2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6"/>
      <c r="N196" s="2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6"/>
      <c r="N197" s="2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6"/>
      <c r="N198" s="2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6"/>
      <c r="N199" s="2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6"/>
      <c r="N200" s="2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6"/>
      <c r="N201" s="2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6"/>
      <c r="N202" s="2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6"/>
      <c r="N203" s="2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6"/>
      <c r="N204" s="2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6"/>
      <c r="N205" s="2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6"/>
      <c r="N206" s="26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6"/>
      <c r="N207" s="26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6"/>
      <c r="N208" s="26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6"/>
      <c r="N209" s="26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6"/>
      <c r="N210" s="26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6"/>
      <c r="N211" s="26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6"/>
      <c r="N212" s="26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6"/>
      <c r="N213" s="2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6"/>
      <c r="N214" s="2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6"/>
      <c r="N215" s="2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6"/>
      <c r="N216" s="2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6"/>
      <c r="N217" s="2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6"/>
      <c r="N218" s="26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6"/>
      <c r="N219" s="26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6"/>
      <c r="N220" s="26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6"/>
      <c r="N221" s="26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6"/>
      <c r="N222" s="2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6"/>
      <c r="N223" s="2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6"/>
      <c r="N224" s="2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6"/>
      <c r="N225" s="2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6"/>
      <c r="N226" s="2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6"/>
      <c r="N227" s="2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6"/>
      <c r="N228" s="2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6"/>
      <c r="N229" s="2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6"/>
      <c r="N230" s="2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6"/>
      <c r="N231" s="2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6"/>
      <c r="N232" s="2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6"/>
      <c r="N233" s="2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6"/>
      <c r="N234" s="2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6"/>
      <c r="N235" s="2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6"/>
      <c r="N236" s="2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6"/>
      <c r="N237" s="26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6"/>
      <c r="N238" s="26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6"/>
      <c r="N239" s="26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6"/>
      <c r="N240" s="26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6"/>
      <c r="N241" s="26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6"/>
      <c r="N242" s="26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6"/>
      <c r="N243" s="26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6"/>
      <c r="N244" s="2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6"/>
      <c r="N245" s="2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6"/>
      <c r="N246" s="2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6"/>
      <c r="N247" s="2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6"/>
      <c r="N248" s="2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6"/>
      <c r="N249" s="26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6"/>
      <c r="N250" s="26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6"/>
      <c r="N251" s="26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6"/>
      <c r="N252" s="26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6"/>
      <c r="N253" s="2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6"/>
      <c r="N254" s="2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6"/>
      <c r="N255" s="2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6"/>
      <c r="N256" s="2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6"/>
      <c r="N257" s="2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6"/>
      <c r="N258" s="2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6"/>
      <c r="N259" s="2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6"/>
      <c r="N260" s="2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6"/>
      <c r="N261" s="2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6"/>
      <c r="N262" s="2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6"/>
      <c r="N263" s="2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6"/>
      <c r="N264" s="2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6"/>
      <c r="N265" s="26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6"/>
      <c r="N266" s="26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6"/>
      <c r="N267" s="26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6"/>
      <c r="N268" s="26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6"/>
      <c r="N269" s="26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6"/>
      <c r="N270" s="26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6"/>
      <c r="N271" s="26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6"/>
      <c r="N272" s="2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6"/>
      <c r="N273" s="2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6"/>
      <c r="N274" s="2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6"/>
      <c r="N275" s="2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6"/>
      <c r="N276" s="2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6"/>
      <c r="N277" s="26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6"/>
      <c r="N278" s="26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6"/>
      <c r="N279" s="26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6"/>
      <c r="N280" s="26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6"/>
      <c r="N281" s="2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6"/>
      <c r="N282" s="2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6"/>
      <c r="N283" s="2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6"/>
      <c r="N284" s="2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6"/>
      <c r="N285" s="2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6"/>
      <c r="N286" s="2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6"/>
      <c r="N287" s="2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6"/>
      <c r="N288" s="2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6"/>
      <c r="N289" s="2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6"/>
      <c r="N290" s="2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6"/>
      <c r="N291" s="2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6"/>
      <c r="N292" s="2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6"/>
      <c r="N293" s="2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6"/>
      <c r="N294" s="2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6"/>
      <c r="N295" s="2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6"/>
      <c r="N296" s="26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6"/>
      <c r="N297" s="26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6"/>
      <c r="N298" s="26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6"/>
      <c r="N299" s="26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6"/>
      <c r="N300" s="26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6"/>
      <c r="N301" s="26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6"/>
      <c r="N302" s="26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6"/>
      <c r="N303" s="26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6"/>
      <c r="N304" s="2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6"/>
      <c r="N305" s="2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6"/>
      <c r="N306" s="2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6"/>
      <c r="N307" s="2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6"/>
      <c r="N308" s="2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6"/>
      <c r="N309" s="26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6"/>
      <c r="N310" s="26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6"/>
      <c r="N311" s="26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6"/>
      <c r="N312" s="26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6"/>
      <c r="N313" s="2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6"/>
      <c r="N314" s="2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6"/>
      <c r="N315" s="2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6"/>
      <c r="N316" s="2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6"/>
      <c r="N317" s="2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6"/>
      <c r="N318" s="2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6"/>
      <c r="N319" s="2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6"/>
      <c r="N320" s="2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6"/>
      <c r="N321" s="2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6"/>
      <c r="N322" s="2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6"/>
      <c r="N323" s="2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6"/>
      <c r="N324" s="2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6"/>
      <c r="N325" s="2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6"/>
      <c r="N326" s="2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6"/>
      <c r="N327" s="2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6"/>
      <c r="N328" s="2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6"/>
      <c r="N329" s="26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6"/>
      <c r="N330" s="2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6"/>
      <c r="N331" s="26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6"/>
      <c r="N332" s="26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6"/>
      <c r="N333" s="26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6"/>
      <c r="N334" s="26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6"/>
      <c r="N335" s="26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6"/>
      <c r="N336" s="26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6"/>
      <c r="N337" s="26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6"/>
      <c r="N338" s="26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6"/>
      <c r="N339" s="26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6"/>
      <c r="N340" s="26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6"/>
      <c r="N341" s="26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6"/>
      <c r="N342" s="26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6"/>
      <c r="N343" s="26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6"/>
      <c r="N344" s="26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6"/>
      <c r="N345" s="26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6"/>
      <c r="N346" s="26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6"/>
      <c r="N347" s="26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6"/>
      <c r="N348" s="26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6"/>
      <c r="N349" s="26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6"/>
      <c r="N350" s="26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6"/>
      <c r="N351" s="26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6"/>
      <c r="N352" s="26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6"/>
      <c r="N353" s="26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6"/>
      <c r="N354" s="26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6"/>
      <c r="N355" s="26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6"/>
      <c r="N356" s="26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6"/>
      <c r="N357" s="26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6"/>
      <c r="N358" s="26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6"/>
      <c r="N359" s="26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6"/>
      <c r="N360" s="26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6"/>
      <c r="N361" s="26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6"/>
      <c r="N362" s="26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6"/>
      <c r="N363" s="26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6"/>
      <c r="N364" s="26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6"/>
      <c r="N365" s="26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6"/>
      <c r="N366" s="26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6"/>
      <c r="N367" s="26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6"/>
      <c r="N368" s="26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6"/>
      <c r="N369" s="26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6"/>
      <c r="N370" s="26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6"/>
      <c r="N371" s="26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6"/>
      <c r="N372" s="2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6"/>
      <c r="N373" s="26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6"/>
      <c r="N374" s="26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6"/>
      <c r="N375" s="26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6"/>
      <c r="N376" s="26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6"/>
      <c r="N377" s="26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6"/>
      <c r="N378" s="26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6"/>
      <c r="N379" s="26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6"/>
      <c r="N380" s="26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6"/>
      <c r="N381" s="26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6"/>
      <c r="N382" s="26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6"/>
      <c r="N383" s="26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6"/>
      <c r="N384" s="26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6"/>
      <c r="N385" s="26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6"/>
      <c r="N386" s="26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6"/>
      <c r="N387" s="26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6"/>
      <c r="N388" s="26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6"/>
      <c r="N389" s="26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6"/>
      <c r="N390" s="26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6"/>
      <c r="N391" s="26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6"/>
      <c r="N392" s="26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6"/>
      <c r="N393" s="26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6"/>
      <c r="N394" s="26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6"/>
      <c r="N395" s="26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6"/>
      <c r="N396" s="26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6"/>
      <c r="N397" s="26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6"/>
      <c r="N398" s="26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6"/>
      <c r="N399" s="26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6"/>
      <c r="N400" s="26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6"/>
      <c r="N401" s="26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6"/>
      <c r="N402" s="26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6"/>
      <c r="N403" s="26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6"/>
      <c r="N404" s="26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6"/>
      <c r="N405" s="26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6"/>
      <c r="N406" s="26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6"/>
      <c r="N407" s="26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6"/>
      <c r="N408" s="26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6"/>
      <c r="N409" s="26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6"/>
      <c r="N410" s="26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6"/>
      <c r="N411" s="26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6"/>
      <c r="N412" s="26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6"/>
      <c r="N413" s="26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6"/>
      <c r="N414" s="2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6"/>
      <c r="N415" s="26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6"/>
      <c r="N416" s="26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6"/>
      <c r="N417" s="26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6"/>
      <c r="N418" s="26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6"/>
      <c r="N419" s="26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6"/>
      <c r="N420" s="26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6"/>
      <c r="N421" s="26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6"/>
      <c r="N422" s="26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6"/>
      <c r="N423" s="26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6"/>
      <c r="N424" s="26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6"/>
      <c r="N425" s="26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6"/>
      <c r="N426" s="26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6"/>
      <c r="N427" s="26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6"/>
      <c r="N428" s="26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6"/>
      <c r="N429" s="26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6"/>
      <c r="N430" s="26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6"/>
      <c r="N431" s="26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6"/>
      <c r="N432" s="26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6"/>
      <c r="N433" s="26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6"/>
      <c r="N434" s="26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6"/>
      <c r="N435" s="26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6"/>
      <c r="N436" s="26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6"/>
      <c r="N437" s="26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6"/>
      <c r="N438" s="2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6"/>
      <c r="N439" s="26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6"/>
      <c r="N440" s="26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6"/>
      <c r="N441" s="26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6"/>
      <c r="N442" s="26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6"/>
      <c r="N443" s="26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6"/>
      <c r="N444" s="26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6"/>
      <c r="N445" s="26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6"/>
      <c r="N446" s="26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6"/>
      <c r="N447" s="26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6"/>
      <c r="N448" s="26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6"/>
      <c r="N449" s="26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6"/>
      <c r="N450" s="26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6"/>
      <c r="N451" s="26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6"/>
      <c r="N452" s="26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6"/>
      <c r="N453" s="26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6"/>
      <c r="N454" s="26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6"/>
      <c r="N455" s="26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6"/>
      <c r="N456" s="2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6"/>
      <c r="N457" s="26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6"/>
      <c r="N458" s="26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6"/>
      <c r="N459" s="26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6"/>
      <c r="N460" s="26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6"/>
      <c r="N461" s="26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6"/>
      <c r="N462" s="26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6"/>
      <c r="N463" s="26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6"/>
      <c r="N464" s="26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6"/>
      <c r="N465" s="26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6"/>
      <c r="N466" s="26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6"/>
      <c r="N467" s="26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6"/>
      <c r="N468" s="26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6"/>
      <c r="N469" s="26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6"/>
      <c r="N470" s="26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6"/>
      <c r="N471" s="26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6"/>
      <c r="N472" s="26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6"/>
      <c r="N473" s="26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6"/>
      <c r="N474" s="26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6"/>
      <c r="N475" s="26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6"/>
      <c r="N476" s="26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6"/>
      <c r="N477" s="26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6"/>
      <c r="N478" s="26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6"/>
      <c r="N479" s="26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6"/>
      <c r="N480" s="26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6"/>
      <c r="N481" s="26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6"/>
      <c r="N482" s="26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6"/>
      <c r="N483" s="26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6"/>
      <c r="N484" s="26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6"/>
      <c r="N485" s="26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6"/>
      <c r="N486" s="26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6"/>
      <c r="N487" s="26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6"/>
      <c r="N488" s="26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6"/>
      <c r="N489" s="26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6"/>
      <c r="N490" s="26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6"/>
      <c r="N491" s="26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6"/>
      <c r="N492" s="26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6"/>
      <c r="N493" s="26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6"/>
      <c r="N494" s="26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6"/>
      <c r="N495" s="26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6"/>
      <c r="N496" s="26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6"/>
      <c r="N497" s="26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6"/>
      <c r="N498" s="2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6"/>
      <c r="N499" s="26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6"/>
      <c r="N500" s="26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6"/>
      <c r="N501" s="26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6"/>
      <c r="N502" s="26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6"/>
      <c r="N503" s="26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6"/>
      <c r="N504" s="26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6"/>
      <c r="N505" s="26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6"/>
      <c r="N506" s="26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6"/>
      <c r="N507" s="26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6"/>
      <c r="N508" s="26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6"/>
      <c r="N509" s="26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6"/>
      <c r="N510" s="26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6"/>
      <c r="N511" s="26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6"/>
      <c r="N512" s="26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6"/>
      <c r="N513" s="26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6"/>
      <c r="N514" s="26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6"/>
      <c r="N515" s="26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6"/>
      <c r="N516" s="26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6"/>
      <c r="N517" s="26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6"/>
      <c r="N518" s="26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6"/>
      <c r="N519" s="26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6"/>
      <c r="N520" s="26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6"/>
      <c r="N521" s="26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6"/>
      <c r="N522" s="26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6"/>
      <c r="N523" s="26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6"/>
      <c r="N524" s="26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6"/>
      <c r="N525" s="26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6"/>
      <c r="N526" s="26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6"/>
      <c r="N527" s="26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6"/>
      <c r="N528" s="26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6"/>
      <c r="N529" s="26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6"/>
      <c r="N530" s="26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6"/>
      <c r="N531" s="26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6"/>
      <c r="N532" s="26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6"/>
      <c r="N533" s="26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6"/>
      <c r="N534" s="26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6"/>
      <c r="N535" s="26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6"/>
      <c r="N536" s="26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6"/>
      <c r="N537" s="26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6"/>
      <c r="N538" s="26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6"/>
      <c r="N539" s="26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6"/>
      <c r="N540" s="2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6"/>
      <c r="N541" s="26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6"/>
      <c r="N542" s="26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6"/>
      <c r="N543" s="26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6"/>
      <c r="N544" s="26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6"/>
      <c r="N545" s="26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6"/>
      <c r="N546" s="26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6"/>
      <c r="N547" s="26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6"/>
      <c r="N548" s="26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6"/>
      <c r="N549" s="26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6"/>
      <c r="N550" s="26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6"/>
      <c r="N551" s="26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6"/>
      <c r="N552" s="26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6"/>
      <c r="N553" s="26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6"/>
      <c r="N554" s="26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6"/>
      <c r="N555" s="26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6"/>
      <c r="N556" s="26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6"/>
      <c r="N557" s="26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6"/>
      <c r="N558" s="26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6"/>
      <c r="N559" s="26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6"/>
      <c r="N560" s="26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6"/>
      <c r="N561" s="26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6"/>
      <c r="N562" s="26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6"/>
      <c r="N563" s="26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6"/>
      <c r="N564" s="26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6"/>
      <c r="N565" s="26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6"/>
      <c r="N566" s="26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6"/>
      <c r="N567" s="26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6"/>
      <c r="N568" s="26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6"/>
      <c r="N569" s="26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6"/>
      <c r="N570" s="26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6"/>
      <c r="N571" s="26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6"/>
      <c r="N572" s="26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6"/>
      <c r="N573" s="26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6"/>
      <c r="N574" s="26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6"/>
      <c r="N575" s="26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6"/>
      <c r="N576" s="26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6"/>
      <c r="N577" s="26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6"/>
      <c r="N578" s="26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6"/>
      <c r="N579" s="26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6"/>
      <c r="N580" s="26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6"/>
      <c r="N581" s="26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6"/>
      <c r="N582" s="2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6"/>
      <c r="N583" s="26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6"/>
      <c r="N584" s="26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6"/>
      <c r="N585" s="26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6"/>
      <c r="N586" s="26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6"/>
      <c r="N587" s="26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6"/>
      <c r="N588" s="26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6"/>
      <c r="N589" s="26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6"/>
      <c r="N590" s="26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6"/>
      <c r="N591" s="26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6"/>
      <c r="N592" s="26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6"/>
      <c r="N593" s="26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6"/>
      <c r="N594" s="26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6"/>
      <c r="N595" s="26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6"/>
      <c r="N596" s="26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6"/>
      <c r="N597" s="26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6"/>
      <c r="N598" s="26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6"/>
      <c r="N599" s="26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6"/>
      <c r="N600" s="26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6"/>
      <c r="N601" s="26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6"/>
      <c r="N602" s="26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6"/>
      <c r="N603" s="26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6"/>
      <c r="N604" s="26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6"/>
      <c r="N605" s="26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6"/>
      <c r="N606" s="26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6"/>
      <c r="N607" s="26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6"/>
      <c r="N608" s="26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6"/>
      <c r="N609" s="26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6"/>
      <c r="N610" s="26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6"/>
      <c r="N611" s="26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6"/>
      <c r="N612" s="26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6"/>
      <c r="N613" s="26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6"/>
      <c r="N614" s="26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6"/>
      <c r="N615" s="26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6"/>
      <c r="N616" s="26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6"/>
      <c r="N617" s="26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6"/>
      <c r="N618" s="26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6"/>
      <c r="N619" s="26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6"/>
      <c r="N620" s="26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6"/>
      <c r="N621" s="26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6"/>
      <c r="N622" s="26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6"/>
      <c r="N623" s="26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6"/>
      <c r="N624" s="2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6"/>
      <c r="N625" s="26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6"/>
      <c r="N626" s="26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6"/>
      <c r="N627" s="26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6"/>
      <c r="N628" s="26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6"/>
      <c r="N629" s="26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6"/>
      <c r="N630" s="26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6"/>
      <c r="N631" s="26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6"/>
      <c r="N632" s="26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6"/>
      <c r="N633" s="26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6"/>
      <c r="N634" s="26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6"/>
      <c r="N635" s="26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6"/>
      <c r="N636" s="26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6"/>
      <c r="N637" s="26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6"/>
      <c r="N638" s="26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6"/>
      <c r="N639" s="26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6"/>
      <c r="N640" s="26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6"/>
      <c r="N641" s="26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6"/>
      <c r="N642" s="26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6"/>
      <c r="N643" s="26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6"/>
      <c r="N644" s="26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6"/>
      <c r="N645" s="26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6"/>
      <c r="N646" s="26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6"/>
      <c r="N647" s="26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6"/>
      <c r="N648" s="26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6"/>
      <c r="N649" s="26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6"/>
      <c r="N650" s="26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6"/>
      <c r="N651" s="26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6"/>
      <c r="N652" s="26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6"/>
      <c r="N653" s="26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6"/>
      <c r="N654" s="26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6"/>
      <c r="N655" s="26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6"/>
      <c r="N656" s="26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6"/>
      <c r="N657" s="26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6"/>
      <c r="N658" s="26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6"/>
      <c r="N659" s="26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6"/>
      <c r="N660" s="26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6"/>
      <c r="N661" s="26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6"/>
      <c r="N662" s="26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6"/>
      <c r="N663" s="26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6"/>
      <c r="N664" s="26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6"/>
      <c r="N665" s="26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6"/>
      <c r="N666" s="2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6"/>
      <c r="N667" s="26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6"/>
      <c r="N668" s="26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6"/>
      <c r="N669" s="26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6"/>
      <c r="N670" s="26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6"/>
      <c r="N671" s="26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6"/>
      <c r="N672" s="26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6"/>
      <c r="N673" s="26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6"/>
      <c r="N674" s="26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6"/>
      <c r="N675" s="26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6"/>
      <c r="N676" s="26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6"/>
      <c r="N677" s="26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6"/>
      <c r="N678" s="26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6"/>
      <c r="N679" s="26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6"/>
      <c r="N680" s="26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6"/>
      <c r="N681" s="26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6"/>
      <c r="N682" s="26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6"/>
      <c r="N683" s="26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6"/>
      <c r="N684" s="26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6"/>
      <c r="N685" s="26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6"/>
      <c r="N686" s="26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6"/>
      <c r="N687" s="26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6"/>
      <c r="N688" s="26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6"/>
      <c r="N689" s="26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6"/>
      <c r="N690" s="26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6"/>
      <c r="N691" s="26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6"/>
      <c r="N692" s="26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6"/>
      <c r="N693" s="26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6"/>
      <c r="N694" s="26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6"/>
      <c r="N695" s="26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6"/>
      <c r="N696" s="26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6"/>
      <c r="N697" s="26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6"/>
      <c r="N698" s="26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6"/>
      <c r="N699" s="26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6"/>
      <c r="N700" s="26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6"/>
      <c r="N701" s="26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6"/>
      <c r="N702" s="26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6"/>
      <c r="N703" s="26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6"/>
      <c r="N704" s="26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6"/>
      <c r="N705" s="26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6"/>
      <c r="N706" s="26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6"/>
      <c r="N707" s="26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6"/>
      <c r="N708" s="2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6"/>
      <c r="N709" s="26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6"/>
      <c r="N710" s="26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6"/>
      <c r="N711" s="26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6"/>
      <c r="N712" s="26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6"/>
      <c r="N713" s="26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6"/>
      <c r="N714" s="26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6"/>
      <c r="N715" s="26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6"/>
      <c r="N716" s="26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6"/>
      <c r="N717" s="26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6"/>
      <c r="N718" s="26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6"/>
      <c r="N719" s="26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6"/>
      <c r="N720" s="26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6"/>
      <c r="N721" s="26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6"/>
      <c r="N722" s="26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6"/>
      <c r="N723" s="26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6"/>
      <c r="N724" s="26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6"/>
      <c r="N725" s="26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6"/>
      <c r="N726" s="26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6"/>
      <c r="N727" s="26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6"/>
      <c r="N728" s="26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6"/>
      <c r="N729" s="26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6"/>
      <c r="N730" s="26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6"/>
      <c r="N731" s="26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6"/>
      <c r="N732" s="26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6"/>
      <c r="N733" s="26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6"/>
      <c r="N734" s="26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6"/>
      <c r="N735" s="26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6"/>
      <c r="N736" s="26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6"/>
      <c r="N737" s="26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6"/>
      <c r="N738" s="26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6"/>
      <c r="N739" s="26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6"/>
      <c r="N740" s="26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6"/>
      <c r="N741" s="26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6"/>
      <c r="N742" s="26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6"/>
      <c r="N743" s="26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6"/>
      <c r="N744" s="26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6"/>
      <c r="N745" s="26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6"/>
      <c r="N746" s="26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6"/>
      <c r="N747" s="26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6"/>
      <c r="N748" s="26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6"/>
      <c r="N749" s="26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6"/>
      <c r="N750" s="2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6"/>
      <c r="N751" s="26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6"/>
      <c r="N752" s="26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6"/>
      <c r="N753" s="26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6"/>
      <c r="N754" s="26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6"/>
      <c r="N755" s="26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6"/>
      <c r="N756" s="26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6"/>
      <c r="N757" s="26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6"/>
      <c r="N758" s="26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6"/>
      <c r="N759" s="26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6"/>
      <c r="N760" s="26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6"/>
      <c r="N761" s="26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6"/>
      <c r="N762" s="26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6"/>
      <c r="N763" s="26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6"/>
      <c r="N764" s="26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6"/>
      <c r="N765" s="26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6"/>
      <c r="N766" s="26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6"/>
      <c r="N767" s="26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6"/>
      <c r="N768" s="26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6"/>
      <c r="N769" s="26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6"/>
      <c r="N770" s="26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6"/>
      <c r="N771" s="26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6"/>
      <c r="N772" s="26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6"/>
      <c r="N773" s="26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6"/>
      <c r="N774" s="26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6"/>
      <c r="N775" s="26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6"/>
      <c r="N776" s="26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6"/>
      <c r="N777" s="26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6"/>
      <c r="N778" s="26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6"/>
      <c r="N779" s="26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6"/>
      <c r="N780" s="26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6"/>
      <c r="N781" s="26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6"/>
      <c r="N782" s="26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6"/>
      <c r="N783" s="26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6"/>
      <c r="N784" s="26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6"/>
      <c r="N785" s="26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6"/>
      <c r="N786" s="26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6"/>
      <c r="N787" s="26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6"/>
      <c r="N788" s="26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6"/>
      <c r="N789" s="26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6"/>
      <c r="N790" s="26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6"/>
      <c r="N791" s="26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6"/>
      <c r="N792" s="2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6"/>
      <c r="N793" s="26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6"/>
      <c r="N794" s="26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6"/>
      <c r="N795" s="26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6"/>
      <c r="N796" s="26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6"/>
      <c r="N797" s="26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6"/>
      <c r="N798" s="26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6"/>
      <c r="N799" s="26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6"/>
      <c r="N800" s="26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6"/>
      <c r="N801" s="26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6"/>
      <c r="N802" s="26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6"/>
      <c r="N803" s="26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6"/>
      <c r="N804" s="26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6"/>
      <c r="N805" s="26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6"/>
      <c r="N806" s="26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6"/>
      <c r="N807" s="26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6"/>
      <c r="N808" s="26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6"/>
      <c r="N809" s="26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6"/>
      <c r="N810" s="26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6"/>
      <c r="N811" s="26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6"/>
      <c r="N812" s="26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6"/>
      <c r="N813" s="26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6"/>
      <c r="N814" s="26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6"/>
      <c r="N815" s="26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6"/>
      <c r="N816" s="26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6"/>
      <c r="N817" s="26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6"/>
      <c r="N818" s="26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6"/>
      <c r="N819" s="26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6"/>
      <c r="N820" s="26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6"/>
      <c r="N821" s="26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6"/>
      <c r="N822" s="26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6"/>
      <c r="N823" s="26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6"/>
      <c r="N824" s="26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6"/>
      <c r="N825" s="26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6"/>
      <c r="N826" s="26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6"/>
      <c r="N827" s="26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6"/>
      <c r="N828" s="26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6"/>
      <c r="N829" s="26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6"/>
      <c r="N830" s="26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6"/>
      <c r="N831" s="26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6"/>
      <c r="N832" s="26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6"/>
      <c r="N833" s="26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6"/>
      <c r="N834" s="2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6"/>
      <c r="N835" s="26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6"/>
      <c r="N836" s="26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6"/>
      <c r="N837" s="26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6"/>
      <c r="N838" s="26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6"/>
      <c r="N839" s="26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6"/>
      <c r="N840" s="26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6"/>
      <c r="N841" s="26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6"/>
      <c r="N842" s="26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6"/>
      <c r="N843" s="26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6"/>
      <c r="N844" s="26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6"/>
      <c r="N845" s="26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6"/>
      <c r="N846" s="26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6"/>
      <c r="N847" s="26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6"/>
      <c r="N848" s="26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6"/>
      <c r="N849" s="26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6"/>
      <c r="N850" s="26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6"/>
      <c r="N851" s="26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6"/>
      <c r="N852" s="26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6"/>
      <c r="N853" s="26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6"/>
      <c r="N854" s="26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6"/>
      <c r="N855" s="26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6"/>
      <c r="N856" s="26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6"/>
      <c r="N857" s="26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6"/>
      <c r="N858" s="26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6"/>
      <c r="N859" s="26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6"/>
      <c r="N860" s="26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6"/>
      <c r="N861" s="26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6"/>
      <c r="N862" s="26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6"/>
      <c r="N863" s="26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6"/>
      <c r="N864" s="26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6"/>
      <c r="N865" s="26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6"/>
      <c r="N866" s="26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6"/>
      <c r="N867" s="26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6"/>
      <c r="N868" s="26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6"/>
      <c r="N869" s="26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6"/>
      <c r="N870" s="26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6"/>
      <c r="N871" s="26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6"/>
      <c r="N872" s="26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6"/>
      <c r="N873" s="26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6"/>
      <c r="N874" s="26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6"/>
      <c r="N875" s="26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6"/>
      <c r="N876" s="2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6"/>
      <c r="N877" s="26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6"/>
      <c r="N878" s="26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6"/>
      <c r="N879" s="26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6"/>
      <c r="N880" s="26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6"/>
      <c r="N881" s="26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6"/>
      <c r="N882" s="26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6"/>
      <c r="N883" s="26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6"/>
      <c r="N884" s="26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6"/>
      <c r="N885" s="26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6"/>
      <c r="N886" s="26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6"/>
      <c r="N887" s="26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6"/>
      <c r="N888" s="26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6"/>
      <c r="N889" s="26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6"/>
      <c r="N890" s="26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6"/>
      <c r="N891" s="26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6"/>
      <c r="N892" s="26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6"/>
      <c r="N893" s="26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6"/>
      <c r="N894" s="26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6"/>
      <c r="N895" s="26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6"/>
      <c r="N896" s="26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6"/>
      <c r="N897" s="26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6"/>
      <c r="N898" s="26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6"/>
      <c r="N899" s="26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6"/>
      <c r="N900" s="26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6"/>
      <c r="N901" s="26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6"/>
      <c r="N902" s="26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6"/>
      <c r="N903" s="26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6"/>
      <c r="N904" s="26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6"/>
      <c r="N905" s="26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6"/>
      <c r="N906" s="26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6"/>
      <c r="N907" s="26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6"/>
      <c r="N908" s="26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6"/>
      <c r="N909" s="26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6"/>
      <c r="N910" s="26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6"/>
      <c r="N911" s="26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6"/>
      <c r="N912" s="26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6"/>
      <c r="N913" s="26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6"/>
      <c r="N914" s="26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6"/>
      <c r="N915" s="26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6"/>
      <c r="N916" s="26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6"/>
      <c r="N917" s="26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6"/>
      <c r="N918" s="2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6"/>
      <c r="N919" s="26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6"/>
      <c r="N920" s="26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6"/>
      <c r="N921" s="26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6"/>
      <c r="N922" s="26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6"/>
      <c r="N923" s="26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6"/>
      <c r="N924" s="26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6"/>
      <c r="N925" s="26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6"/>
      <c r="N926" s="26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6"/>
      <c r="N927" s="26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6"/>
      <c r="N928" s="26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6"/>
      <c r="N929" s="26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6"/>
      <c r="N930" s="26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6"/>
      <c r="N931" s="26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6"/>
      <c r="N932" s="26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6"/>
      <c r="N933" s="26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6"/>
      <c r="N934" s="26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6"/>
      <c r="N935" s="26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6"/>
      <c r="N936" s="26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6"/>
      <c r="N937" s="26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6"/>
      <c r="N938" s="26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6"/>
      <c r="N939" s="26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6"/>
      <c r="N940" s="26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6"/>
      <c r="N941" s="26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6"/>
      <c r="N942" s="26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6"/>
      <c r="N943" s="26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6"/>
      <c r="N944" s="26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6"/>
      <c r="N945" s="26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6"/>
      <c r="N946" s="26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6"/>
      <c r="N947" s="26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6"/>
      <c r="N948" s="26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6"/>
      <c r="N949" s="26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6"/>
      <c r="N950" s="26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6"/>
      <c r="N951" s="26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6"/>
      <c r="N952" s="26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6"/>
      <c r="N953" s="26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6"/>
      <c r="N954" s="26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6"/>
      <c r="N955" s="26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6"/>
      <c r="N956" s="26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6"/>
      <c r="N957" s="26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6"/>
      <c r="N958" s="26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6"/>
      <c r="N959" s="26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6"/>
      <c r="N960" s="2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6"/>
      <c r="N961" s="26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6"/>
      <c r="N962" s="26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6"/>
      <c r="N963" s="26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6"/>
      <c r="N964" s="26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6"/>
      <c r="N965" s="26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6"/>
      <c r="N966" s="26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6"/>
      <c r="N967" s="26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6"/>
      <c r="N968" s="26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6"/>
      <c r="N969" s="26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6"/>
      <c r="N970" s="26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6"/>
      <c r="N971" s="26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4.25" customHeight="1">
      <c r="A972" s="1"/>
      <c r="B972" s="1"/>
      <c r="M972" s="26"/>
      <c r="N972" s="26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</sheetData>
  <mergeCells count="15">
    <mergeCell ref="A16:A21"/>
    <mergeCell ref="A1:L1"/>
    <mergeCell ref="B4:B5"/>
    <mergeCell ref="C4:C5"/>
    <mergeCell ref="D4:D5"/>
    <mergeCell ref="E4:E5"/>
    <mergeCell ref="A2:L2"/>
    <mergeCell ref="B16:B21"/>
    <mergeCell ref="B6:B15"/>
    <mergeCell ref="F4:L4"/>
    <mergeCell ref="P5:R5"/>
    <mergeCell ref="Y5:AD5"/>
    <mergeCell ref="A4:A5"/>
    <mergeCell ref="A6:A15"/>
    <mergeCell ref="M1:N97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Phatcharida Fueangarrom</cp:lastModifiedBy>
  <dcterms:created xsi:type="dcterms:W3CDTF">2022-02-08T03:49:14Z</dcterms:created>
  <dcterms:modified xsi:type="dcterms:W3CDTF">2026-01-31T10:35:35Z</dcterms:modified>
</cp:coreProperties>
</file>